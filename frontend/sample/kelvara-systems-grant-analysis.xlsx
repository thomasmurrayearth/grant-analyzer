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nt Opportunities" sheetId="1" state="visible" r:id="rId1"/>
    <sheet xmlns:r="http://schemas.openxmlformats.org/officeDocument/2006/relationships" name="Strategic Recommendations" sheetId="2" state="visible" r:id="rId2"/>
    <sheet xmlns:r="http://schemas.openxmlformats.org/officeDocument/2006/relationships" name="Definitions acrony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€&quot;#,##0"/>
    <numFmt numFmtId="165" formatCode="yyyy-mm-dd h:mm:ss"/>
    <numFmt numFmtId="166" formatCode="dd mmmm yyyy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1155CC"/>
      <u val="single"/>
    </font>
    <font>
      <b val="1"/>
    </font>
  </fonts>
  <fills count="3">
    <fill>
      <patternFill/>
    </fill>
    <fill>
      <patternFill patternType="gray125"/>
    </fill>
    <fill>
      <patternFill patternType="solid">
        <fgColor rgb="000737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EA9999"/>
          <bgColor rgb="00EA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inea.ec.europa.eu/funding-opportunities/calls-proposals/innovation-fund-2025-heat-auction_en" TargetMode="External" Id="rId1"/><Relationship Type="http://schemas.openxmlformats.org/officeDocument/2006/relationships/hyperlink" Target="https://eic.ec.europa.eu/eic-funding-opportunities/eic-accelerator/eic-accelerator-challenges-2026_en" TargetMode="External" Id="rId2"/><Relationship Type="http://schemas.openxmlformats.org/officeDocument/2006/relationships/hyperlink" Target="https://ec.europa.eu/info/funding-tenders/opportunities/portal/screen/opportunities/calls-for-proposals?callIdentifier=HORIZON-CID-2026-01&amp;isExactMatch=true&amp;status=31094501,31094502,31094503&amp;order=DESC&amp;pageNumber=1&amp;pageSize=50&amp;sortBy=startDate" TargetMode="External" Id="rId3"/><Relationship Type="http://schemas.openxmlformats.org/officeDocument/2006/relationships/hyperlink" Target="https://apply-for-innovation-funding.service.gov.uk/competition/2509/overview/c1794f5a-06bf-41bb-8a13-3e657dacef54" TargetMode="External" Id="rId4"/></Relationships>
</file>

<file path=xl/worksheets/_rels/sheet2.xml.rels><Relationships xmlns="http://schemas.openxmlformats.org/package/2006/relationships"><Relationship Type="http://schemas.openxmlformats.org/officeDocument/2006/relationships/hyperlink" Target="https://thomasmurray.earth/startup-journey.html" TargetMode="External" Id="rId1"/><Relationship Type="http://schemas.openxmlformats.org/officeDocument/2006/relationships/hyperlink" Target="mailto:thomasmurraynz@gmail.co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.63" customWidth="1" min="1" max="1"/>
    <col width="7.88" customWidth="1" min="2" max="2"/>
    <col width="35.25" customWidth="1" min="3" max="3"/>
    <col width="9.5" customWidth="1" min="4" max="4"/>
    <col width="18.13" customWidth="1" min="5" max="5"/>
    <col width="13" customWidth="1" min="6" max="6"/>
    <col width="17" customWidth="1" min="7" max="7"/>
    <col width="10.63" customWidth="1" min="8" max="8"/>
    <col width="17.88" customWidth="1" min="9" max="9"/>
    <col width="14.25" customWidth="1" min="10" max="10"/>
    <col width="19.38" customWidth="1" min="11" max="11"/>
    <col width="13.5" customWidth="1" min="12" max="12"/>
    <col width="13" customWidth="1" min="13" max="13"/>
    <col width="13" customWidth="1" min="14" max="14"/>
    <col width="14.25" customWidth="1" min="15" max="15"/>
    <col width="22.5" customWidth="1" min="16" max="16"/>
    <col width="35" customWidth="1" min="17" max="17"/>
    <col width="18.13" customWidth="1" min="18" max="18"/>
    <col width="22.5" customWidth="1" min="19" max="19"/>
    <col width="15.88" customWidth="1" min="20" max="20"/>
    <col width="18.13" customWidth="1" min="21" max="21"/>
    <col width="25" customWidth="1" min="22" max="22"/>
    <col width="18" customWidth="1" min="23" max="23"/>
    <col width="14" customWidth="1" min="24" max="24"/>
  </cols>
  <sheetData>
    <row r="1">
      <c r="A1" s="1" t="inlineStr">
        <is>
          <t>Grant Name</t>
        </is>
      </c>
      <c r="B1" s="1" t="inlineStr">
        <is>
          <t>Priority Score</t>
        </is>
      </c>
      <c r="C1" s="1" t="inlineStr">
        <is>
          <t>Thematic Fit (explanation)</t>
        </is>
      </c>
      <c r="D1" s="1" t="inlineStr">
        <is>
          <t>Thematic Fit score (1-5)</t>
        </is>
      </c>
      <c r="E1" s="1" t="inlineStr">
        <is>
          <t>Strategic Value (explanation)</t>
        </is>
      </c>
      <c r="F1" s="1" t="inlineStr">
        <is>
          <t>Strategic Value Score (1–5)</t>
        </is>
      </c>
      <c r="G1" s="1" t="inlineStr">
        <is>
          <t>Ease of Execution (explanation)</t>
        </is>
      </c>
      <c r="H1" s="1" t="inlineStr">
        <is>
          <t>Ease of Execution Score (1–5)</t>
        </is>
      </c>
      <c r="I1" s="1" t="inlineStr">
        <is>
          <t>Funding Level (explanation)</t>
        </is>
      </c>
      <c r="J1" s="1" t="inlineStr">
        <is>
          <t>Maximum Funding Level (Estimated by AI, Euros)</t>
        </is>
      </c>
      <c r="K1" s="1" t="inlineStr">
        <is>
          <t>Application Link</t>
        </is>
      </c>
      <c r="L1" s="1" t="inlineStr">
        <is>
          <t>Managing Body</t>
        </is>
      </c>
      <c r="M1" s="1" t="inlineStr">
        <is>
          <t>Grant opens for applications (date)</t>
        </is>
      </c>
      <c r="N1" s="1" t="inlineStr">
        <is>
          <t>Grant closes for applications (date)</t>
        </is>
      </c>
      <c r="O1" s="1" t="inlineStr">
        <is>
          <t>Project Size / Duration</t>
        </is>
      </c>
      <c r="P1" s="1" t="inlineStr">
        <is>
          <t>Past Similar Projects</t>
        </is>
      </c>
      <c r="Q1" s="1" t="inlineStr">
        <is>
          <t>Alignment Conditions</t>
        </is>
      </c>
      <c r="R1" s="1" t="inlineStr">
        <is>
          <t>TRL Requirement</t>
        </is>
      </c>
      <c r="S1" s="1" t="inlineStr">
        <is>
          <t>Consortium Rules</t>
        </is>
      </c>
      <c r="T1" s="1" t="inlineStr">
        <is>
          <t>Geography / Eligibility</t>
        </is>
      </c>
      <c r="U1" s="1" t="inlineStr">
        <is>
          <t>Application Timing</t>
        </is>
      </c>
      <c r="V1" s="1" t="inlineStr">
        <is>
          <t>Compliance / Risks</t>
        </is>
      </c>
      <c r="W1" s="1" t="inlineStr">
        <is>
          <t>Applicant Route</t>
        </is>
      </c>
      <c r="X1" s="1" t="inlineStr">
        <is>
          <t>Status</t>
        </is>
      </c>
    </row>
    <row r="2">
      <c r="A2" s="2" t="inlineStr">
        <is>
          <t>EU Innovation Fund — Industrial Process Heat Decarbonisation Auction (IF25 Heat Auction / next round)</t>
        </is>
      </c>
      <c r="B2" s="2">
        <f>(2*D2)+F2+H2</f>
        <v/>
      </c>
      <c r="C2" s="2" t="inlineStr">
        <is>
          <t>The Innovation Fund Heat Auction's sole purpose is decarbonising industrial process heat — an exact match for Kelvara's core product of replacing fossil-fuel process heat with stored renewable electricity.</t>
        </is>
      </c>
      <c r="D2" s="2" t="n">
        <v>5</v>
      </c>
      <c r="E2" s="2" t="inlineStr">
        <is>
          <t>The EU Innovation Fund is the largest dedicated industrial decarbonisation funding instrument in Europe; success would provide transformational capital for Kelvara's first commercial-scale deployment and establish EU market credibility.</t>
        </is>
      </c>
      <c r="F2" s="2" t="n">
        <v>5</v>
      </c>
      <c r="G2" s="2" t="inlineStr">
        <is>
          <t>Auction mechanism requires detailed project financials, carbon abatement cost modelling, and a bankable deployment project — highly demanding for a seed-stage company without a completed commercial pilot.</t>
        </is>
      </c>
      <c r="H2" s="2" t="n">
        <v>2</v>
      </c>
      <c r="I2" s="2" t="inlineStr">
        <is>
          <t>Grant | €400M+ per round (project-level amounts vary; first round awarded ~€400M across 65 projects) | Confidence: Medium</t>
        </is>
      </c>
      <c r="J2" s="3" t="n">
        <v>20000000</v>
      </c>
      <c r="K2" s="4" t="inlineStr">
        <is>
          <t>https://cinea.ec.europa.eu/funding-opportunities/calls-proposals/innovation-fund-2025-heat-auction_en</t>
        </is>
      </c>
      <c r="L2" s="2" t="inlineStr">
        <is>
          <t>European Commission (Innovation Fund / CINEA)</t>
        </is>
      </c>
      <c r="M2" s="2" t="inlineStr">
        <is>
          <t>Next round expected 2026–2027 (first round opened Feb 2025, closed Dec 2025)</t>
        </is>
      </c>
      <c r="N2" s="2" t="inlineStr">
        <is>
          <t>Next round deadline unknown — monitor CINEA website</t>
        </is>
      </c>
      <c r="O2" s="2" t="inlineStr">
        <is>
          <t>Large-scale deployment projects; typically €5M–€50M+ per project; multi-year</t>
        </is>
      </c>
      <c r="P2" s="2" t="inlineStr">
        <is>
          <t>First IF25 Heat Auction awarded ~€400M to 65 projects across EU industrial sectors including ceramics, chemicals, and food processing — directly analogous to Kelvara's target customers.</t>
        </is>
      </c>
      <c r="Q2" s="2" t="inlineStr">
        <is>
          <t>No other EU funding instrument is more precisely targeted at Kelvara's exact value proposition — replacing fossil-fuel industrial process heat with stored renewable electricity at scale.</t>
        </is>
      </c>
      <c r="R2" s="2" t="inlineStr">
        <is>
          <t>TRL 6–9 (deployment-ready or near-commercial projects preferred)</t>
        </is>
      </c>
      <c r="S2" s="2" t="inlineStr">
        <is>
          <t>Solo or consortium; EU-registered project entity required as applicant</t>
        </is>
      </c>
      <c r="T2" s="2" t="inlineStr">
        <is>
          <t>EU Member States and associated countries</t>
        </is>
      </c>
      <c r="U2" s="2" t="inlineStr">
        <is>
          <t>Annual; known future window</t>
        </is>
      </c>
      <c r="V2" s="2" t="inlineStr">
        <is>
          <t>The auction mechanism and large project scale requirements may be premature for a seed-stage company at TRL 6 without a completed commercial pilot; Kelvara should target the round following its 5 MWh pilot completion.</t>
        </is>
      </c>
      <c r="W2" s="2" t="inlineStr">
        <is>
          <t>Direct applicant</t>
        </is>
      </c>
      <c r="X2" s="2" t="inlineStr">
        <is>
          <t>Recurring</t>
        </is>
      </c>
    </row>
    <row r="3">
      <c r="A3" s="2" t="inlineStr">
        <is>
          <t>EIC Accelerator Challenges 2026 — Clean Energy / Industrial Decarbonisation Challenge</t>
        </is>
      </c>
      <c r="B3" s="2">
        <f>(2*D3)+F3+H3</f>
        <v/>
      </c>
      <c r="C3" s="2" t="inlineStr">
        <is>
          <t>The EIC Accelerator Challenges 2026 include a clean energy / advanced materials for energy storage challenge — Kelvara's aluminium-alloy PCM thermal battery fits the advanced materials for renewable energy storage framing.</t>
        </is>
      </c>
      <c r="D3" s="2" t="n">
        <v>4</v>
      </c>
      <c r="E3" s="2" t="inlineStr">
        <is>
          <t>Same transformational value as the Deep Tech for Climate challenge — EIC Accelerator success provides up to €17.5M blended finance and EU-wide market credibility; the Challenges track may have a higher budget allocation per winner.</t>
        </is>
      </c>
      <c r="F3" s="2" t="n">
        <v>5</v>
      </c>
      <c r="G3" s="2" t="inlineStr">
        <is>
          <t>Identical multi-stage competitive process to EIC Accelerator Open — highly demanding; however, the Challenges track may have a slightly higher acceptance rate due to predefined topic focus.</t>
        </is>
      </c>
      <c r="H3" s="2" t="n">
        <v>2</v>
      </c>
      <c r="I3" s="2" t="inlineStr">
        <is>
          <t>Blended | Up to €2.5M grant + up to €15M equity | Confidence: High</t>
        </is>
      </c>
      <c r="J3" s="3" t="n">
        <v>2500000</v>
      </c>
      <c r="K3" s="4" t="inlineStr">
        <is>
          <t>https://eic.ec.europa.eu/eic-funding-opportunities/eic-accelerator/eic-accelerator-challenges-2026_en</t>
        </is>
      </c>
      <c r="L3" s="2" t="inlineStr">
        <is>
          <t>European Innovation Council (EIC)</t>
        </is>
      </c>
      <c r="M3" s="2" t="inlineStr">
        <is>
          <t>Open now — multiple 2026 cut-offs</t>
        </is>
      </c>
      <c r="N3" s="2" t="inlineStr">
        <is>
          <t>Multiple 2026 deadlines — next: 6 May 2026 or 8 Jul 2026</t>
        </is>
      </c>
      <c r="O3" s="2" t="inlineStr">
        <is>
          <t>Up to €2.5M grant + up to €15M equity; 12–36 months</t>
        </is>
      </c>
      <c r="P3" s="2" t="inlineStr">
        <is>
          <t>First EIC Accelerator Challenges round (advanced materials for energy storage) opened in 2026 with €50M available — specific awardees not yet announced.</t>
        </is>
      </c>
      <c r="Q3" s="2" t="inlineStr">
        <is>
          <t>The advanced materials for energy storage challenge directly matches Kelvara's recycled aluminium-alloy PCM technology, providing a second EIC Accelerator entry point with a predefined topic focus.</t>
        </is>
      </c>
      <c r="R3" s="2" t="inlineStr">
        <is>
          <t>TRL 5–8</t>
        </is>
      </c>
      <c r="S3" s="2" t="inlineStr">
        <is>
          <t>Solo application — single SME or startup</t>
        </is>
      </c>
      <c r="T3" s="2" t="inlineStr">
        <is>
          <t>EU Member States and associated countries (UK associated)</t>
        </is>
      </c>
      <c r="U3" s="2" t="inlineStr">
        <is>
          <t>Annual; open now</t>
        </is>
      </c>
      <c r="V3" s="2" t="inlineStr">
        <is>
          <t>Kelvara should not apply to both EIC Accelerator challenge tracks simultaneously without confirming EIC rules on multiple concurrent applications — verify before submitting.</t>
        </is>
      </c>
      <c r="W3" s="2" t="inlineStr">
        <is>
          <t>Direct applicant</t>
        </is>
      </c>
      <c r="X3" s="2" t="inlineStr">
        <is>
          <t>Open</t>
        </is>
      </c>
    </row>
    <row r="4">
      <c r="A4" s="2" t="inlineStr">
        <is>
          <t>Horizon Europe — Clean Industrial Deal R&amp;I Call (HORIZON-CID-2026-01-01)</t>
        </is>
      </c>
      <c r="B4" s="2">
        <f>(2*D4)+F4+H4</f>
        <v/>
      </c>
      <c r="C4" s="2" t="inlineStr">
        <is>
          <t>The Clean Industrial Deal R&amp;I call explicitly targets clean technologies for decarbonisation of energy-intensive industries — Kelvara's thermal battery fits well, though the broad horizontal call requires identifying the most relevant sub-topic.</t>
        </is>
      </c>
      <c r="D4" s="2" t="n">
        <v>4</v>
      </c>
      <c r="E4" s="2" t="inlineStr">
        <is>
          <t>Horizon Europe consortium membership builds EU research credibility, opens doors to follow-on Innovation Fund applications, and provides access to industrial partners across EU member states.</t>
        </is>
      </c>
      <c r="F4" s="2" t="n">
        <v>4</v>
      </c>
      <c r="G4" s="2" t="inlineStr">
        <is>
          <t>Consortium of 3+ entities required, full technical proposal with work packages, highly competitive — significant management overhead for a seed-stage company.</t>
        </is>
      </c>
      <c r="H4" s="2" t="n">
        <v>2</v>
      </c>
      <c r="I4" s="2" t="inlineStr">
        <is>
          <t>Grant | €540M total call; individual project amounts vary (typically €3M–€15M for RIA/IA topics) | Confidence: Medium</t>
        </is>
      </c>
      <c r="J4" s="3" t="n">
        <v>15000000</v>
      </c>
      <c r="K4" s="4" t="inlineStr">
        <is>
          <t>https://ec.europa.eu/info/funding-tenders/opportunities/portal/screen/opportunities/calls-for-proposals?callIdentifier=HORIZON-CID-2026-01&amp;isExactMatch=true&amp;status=31094501,31094502,31094503&amp;order=DESC&amp;pageNumber=1&amp;pageSize=50&amp;sortBy=startDate</t>
        </is>
      </c>
      <c r="L4" s="2" t="inlineStr">
        <is>
          <t>European Commission / Horizon Europe</t>
        </is>
      </c>
      <c r="M4" s="2" t="inlineStr">
        <is>
          <t>Call open — deadline 15 September 2026</t>
        </is>
      </c>
      <c r="N4" s="5" t="n">
        <v>46280</v>
      </c>
      <c r="O4" s="2" t="inlineStr">
        <is>
          <t>Typically €3M–€15M per project; 3–4 years</t>
        </is>
      </c>
      <c r="P4" s="2" t="inlineStr">
        <is>
          <t>Horizon Europe has funded multiple industrial thermal storage and process heat projects under CL5 in prior work programmes; specific CID-2026 awardees not yet available.</t>
        </is>
      </c>
      <c r="Q4" s="2" t="inlineStr">
        <is>
          <t>The Clean Industrial Deal R&amp;I call is the primary Horizon Europe vehicle for industrial decarbonisation R&amp;I in 2026, and Kelvara's thermal battery technology is a strong fit for the clean technology development sub-topics.</t>
        </is>
      </c>
      <c r="R4" s="2" t="inlineStr">
        <is>
          <t>TRL 3–7 depending on sub-topic (RIA/IA)</t>
        </is>
      </c>
      <c r="S4" s="2" t="inlineStr">
        <is>
          <t>Consortium of minimum 3 independent entities from 3 different EU/associated countries required</t>
        </is>
      </c>
      <c r="T4" s="2" t="inlineStr">
        <is>
          <t>EU Member States and associated countries (UK associated)</t>
        </is>
      </c>
      <c r="U4" s="2" t="inlineStr">
        <is>
          <t>Annual; known future window</t>
        </is>
      </c>
      <c r="V4" s="2" t="inlineStr">
        <is>
          <t>The 15 September 2026 deadline is tight for consortium formation from scratch — Kelvara should immediately identify and approach potential EU partners (industrial + academic) to assess feasibility.</t>
        </is>
      </c>
      <c r="W4" s="2" t="inlineStr">
        <is>
          <t>Direct applicant</t>
        </is>
      </c>
      <c r="X4" s="2" t="inlineStr">
        <is>
          <t>Open</t>
        </is>
      </c>
    </row>
    <row r="5">
      <c r="A5" s="2" t="inlineStr">
        <is>
          <t>Innovate UK — Consumer Led Flexibility for the Clean Energy Superpower Mission</t>
        </is>
      </c>
      <c r="B5" s="2">
        <f>(2*D5)+F5+H5</f>
        <v/>
      </c>
      <c r="C5" s="2" t="inlineStr">
        <is>
          <t>The programme funds demand-side flexibility and grid flexibility solutions — Kelvara's thermal battery does enable industrial demand flexibility by time-shifting renewable electricity consumption, but the programme's 'consumer-led' framing and focus on pre-commercialisation digital/AI solutions is a partial rather than primary fit.</t>
        </is>
      </c>
      <c r="D5" s="2" t="n">
        <v>3</v>
      </c>
      <c r="E5" s="2" t="inlineStr">
        <is>
          <t>A UK Innovate UK award would provide useful government validation and support the Manchester pilot, but the consumer flexibility framing limits strategic positioning value for Kelvara's industrial decarbonisation narrative.</t>
        </is>
      </c>
      <c r="F5" s="2" t="n">
        <v>3</v>
      </c>
      <c r="G5" s="2" t="inlineStr">
        <is>
          <t>Standard Innovate UK application process — online form, manageable for a UK-registered SME, but requires reframing Kelvara's pitch around demand-side flexibility rather than industrial decarbonisation.</t>
        </is>
      </c>
      <c r="H5" s="2" t="n">
        <v>3</v>
      </c>
      <c r="I5" s="2" t="inlineStr">
        <is>
          <t>Grant | Up to £3M per project (share of £25M total) | Confidence: High</t>
        </is>
      </c>
      <c r="J5" s="3" t="n">
        <v>3500000</v>
      </c>
      <c r="K5" s="4" t="inlineStr">
        <is>
          <t>https://apply-for-innovation-funding.service.gov.uk/competition/2509/overview/c1794f5a-06bf-41bb-8a13-3e657dacef54</t>
        </is>
      </c>
      <c r="L5" s="2" t="inlineStr">
        <is>
          <t>Innovate UK / UKRI</t>
        </is>
      </c>
      <c r="M5" s="2" t="inlineStr">
        <is>
          <t>Open now</t>
        </is>
      </c>
      <c r="N5" s="5" t="n">
        <v>46183</v>
      </c>
      <c r="O5" s="2" t="inlineStr">
        <is>
          <t>Up to £3M; project duration not specified in evidence</t>
        </is>
      </c>
      <c r="P5" s="2" t="inlineStr">
        <is>
          <t>unknown</t>
        </is>
      </c>
      <c r="Q5" s="2" t="inlineStr">
        <is>
          <t>The programme's demand-side flexibility scope encompasses industrial thermal storage as a grid flexibility asset, providing a near-term UK funding opportunity while IETF and other applications are prepared.</t>
        </is>
      </c>
      <c r="R5" s="2" t="inlineStr">
        <is>
          <t>Pre-commercialisation (TRL 4–7 implied)</t>
        </is>
      </c>
      <c r="S5" s="2" t="inlineStr">
        <is>
          <t>UK-registered organisations can apply; consortium details not specified</t>
        </is>
      </c>
      <c r="T5" s="2" t="inlineStr">
        <is>
          <t>United Kingdom</t>
        </is>
      </c>
      <c r="U5" s="2" t="inlineStr">
        <is>
          <t>open now</t>
        </is>
      </c>
      <c r="V5" s="2" t="inlineStr">
        <is>
          <t>The 'consumer-led' framing and focus on digital/AI flexibility solutions may disadvantage a hardware-first industrial thermal storage application — assess fit carefully before investing application effort given the 10 June 2026 deadline.</t>
        </is>
      </c>
      <c r="W5" s="2" t="inlineStr">
        <is>
          <t>Direct applicant</t>
        </is>
      </c>
      <c r="X5" s="2" t="inlineStr">
        <is>
          <t>Open</t>
        </is>
      </c>
    </row>
  </sheetData>
  <conditionalFormatting sqref="B2:B5">
    <cfRule type="colorScale" priority="1">
      <colorScale>
        <cfvo type="min"/>
        <cfvo type="max"/>
        <color rgb="00FFFFFF"/>
        <color rgb="0057BB8A"/>
      </colorScale>
    </cfRule>
  </conditionalFormatting>
  <conditionalFormatting sqref="D2:D5">
    <cfRule type="colorScale" priority="2">
      <colorScale>
        <cfvo type="min"/>
        <cfvo type="max"/>
        <color rgb="00FFFFFF"/>
        <color rgb="00FFD966"/>
      </colorScale>
    </cfRule>
  </conditionalFormatting>
  <conditionalFormatting sqref="F2:F5">
    <cfRule type="colorScale" priority="3">
      <colorScale>
        <cfvo type="min"/>
        <cfvo type="max"/>
        <color rgb="00FFFFFF"/>
        <color rgb="00FFD966"/>
      </colorScale>
    </cfRule>
  </conditionalFormatting>
  <conditionalFormatting sqref="H2:H5">
    <cfRule type="colorScale" priority="4">
      <colorScale>
        <cfvo type="min"/>
        <cfvo type="max"/>
        <color rgb="00FFFFFF"/>
        <color rgb="00FFD966"/>
      </colorScale>
    </cfRule>
  </conditionalFormatting>
  <conditionalFormatting sqref="J2:J5">
    <cfRule type="colorScale" priority="5">
      <colorScale>
        <cfvo type="min"/>
        <cfvo type="max"/>
        <color rgb="00FFFFFF"/>
        <color rgb="0057BB8A"/>
      </colorScale>
    </cfRule>
  </conditionalFormatting>
  <conditionalFormatting sqref="N2:N5">
    <cfRule type="expression" priority="6" dxfId="0">
      <formula>AND(ISNUMBER(N2),TRUNC(N2)&lt;TODAY())</formula>
    </cfRule>
  </conditionalFormatting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Section</t>
        </is>
      </c>
      <c r="B1" s="1" t="inlineStr">
        <is>
          <t>Detail</t>
        </is>
      </c>
    </row>
    <row r="2">
      <c r="A2" s="6" t="inlineStr">
        <is>
          <t>Executive summary</t>
        </is>
      </c>
      <c r="B2" t="inlineStr"/>
    </row>
    <row r="3">
      <c r="A3" s="2" t="inlineStr">
        <is>
          <t>Company overview</t>
        </is>
      </c>
      <c r="B3" s="2" t="inlineStr">
        <is>
          <t>Kelvara Systems is a seed-stage deep-tech climate hardware company founded in 2023, headquartered in Wellington, New Zealand with an engineering team and pilot site in Manchester, UK. It builds modular thermal batteries using recycled aluminium-alloy phase-change material to store surplus renewable electricity as high-temperature heat, discharging it as industrial process heat or electricity for energy-intensive industries.</t>
        </is>
      </c>
    </row>
    <row r="4">
      <c r="A4" s="2" t="inlineStr">
        <is>
          <t>Strongest themes</t>
        </is>
      </c>
      <c r="B4" s="2" t="inlineStr">
        <is>
          <t>Industrial decarbonisation and process heat electrification are the strongest funding themes — multiple major EU and UK programmes (IETF, EU Innovation Fund Heat Auction, EIC Accelerator, Horizon CID) are explicitly designed for exactly this technology and outcome. Long-duration energy storage (LDES) is a secondary but strong theme in the UK via Ofgem's cap-and-floor regime.</t>
        </is>
      </c>
    </row>
    <row r="5">
      <c r="A5" s="2" t="inlineStr">
        <is>
          <t>Strongest geographies</t>
        </is>
      </c>
      <c r="B5" s="2" t="inlineStr">
        <is>
          <t>The UK and EU offer the richest grant landscape for Kelvara's technology. The UK provides direct access via IETF and Innovate UK programmes through the Manchester entity; the EU offers transformational scale via the Innovation Fund Heat Auction and EIC Accelerator, accessible through UK's Horizon association status. New Zealand has limited grant evidence in the shortlist.</t>
        </is>
      </c>
    </row>
    <row r="6">
      <c r="A6" s="2" t="inlineStr">
        <is>
          <t>Key constraints</t>
        </is>
      </c>
      <c r="B6" s="2" t="inlineStr">
        <is>
          <t>Kelvara's New Zealand headquarters creates eligibility friction for EU programmes requiring an EU/associated-country entity as lead applicant — the UK entity mitigates this but must be confirmed as the applying entity. The company is pre-revenue at TRL 6, which is appropriate for most programmes but may be below the project-scale threshold for the Ofgem LDES regime. Hardware capital intensity means grant applications must demonstrate a credible path to commercial deployment, not just R&amp;D.</t>
        </is>
      </c>
    </row>
    <row r="7">
      <c r="A7" s="6" t="inlineStr">
        <is>
          <t>Strategic recommendations</t>
        </is>
      </c>
      <c r="B7" t="inlineStr"/>
    </row>
    <row r="8">
      <c r="A8" s="2" t="inlineStr">
        <is>
          <t>Best fit strategy</t>
        </is>
      </c>
      <c r="B8" s="2" t="inlineStr">
        <is>
          <t>Pursue IETF Phase 4 (feasibility stage first) and EIC Accelerator Deep Tech for Climate simultaneously as the highest-priority actions — both are open now, directly match Kelvara's core product, and provide the credibility and capital needed to reach commercial pilot. In parallel, prepare a consortium for the EU Innovation Fund Heat Auction next round and Horizon CID 2026, which offer transformational EU-scale funding.</t>
        </is>
      </c>
    </row>
    <row r="9">
      <c r="A9" s="2" t="inlineStr">
        <is>
          <t>Best geographies</t>
        </is>
      </c>
      <c r="B9" s="2" t="inlineStr">
        <is>
          <t>United Kingdom (IETF, Innovate UK Smart Grants, Ofgem LDES) and European Union / Horizon-associated (EIC Accelerator, EU Innovation Fund, Horizon Europe CL5/CID) — both accessible via the Manchester UK entity.</t>
        </is>
      </c>
    </row>
    <row r="10">
      <c r="A10" s="2" t="inlineStr">
        <is>
          <t>Strongest pathways</t>
        </is>
      </c>
      <c r="B10" s="2" t="inlineStr">
        <is>
          <t>1) IETF Phase 4 feasibility grant (open now, direct match, manageable application); 2) EIC Accelerator Deep Tech for Climate 2026 (open now, transformational blended finance, multiple deadlines); 3) EU Innovation Fund Heat Auction next round (exact thematic match, large scale); 4) Horizon CID-2026-01-01 (consortium, Sept 2026 deadline).</t>
        </is>
      </c>
    </row>
    <row r="11">
      <c r="A11" s="2" t="inlineStr">
        <is>
          <t>Key partnerships</t>
        </is>
      </c>
      <c r="B11" s="2" t="inlineStr">
        <is>
          <t>An EU-based industrial partner (food processing, chemicals, or paper sector) would unlock both the EU Innovation Fund Heat Auction and Horizon Europe consortium calls. A UK university or research institute (e.g. a Faraday Institution member) would strengthen Innovate UK and Horizon applications. An Australian industrial partner would be needed to access ARENA funding in future.</t>
        </is>
      </c>
    </row>
    <row r="12">
      <c r="A12" s="2" t="inlineStr">
        <is>
          <t>Capability gaps</t>
        </is>
      </c>
      <c r="B12" s="2" t="inlineStr">
        <is>
          <t>Kelvara needs to: (1) confirm its UK entity is properly registered as an SME for Innovate UK eligibility; (2) establish or identify an EU-registered consortium partner for Horizon and Innovation Fund applications; (3) develop a bankable techno-economic model for the 5 MWh commercial pilot to support capital grant applications; (4) build a public track record (case study from the 500 kWh demonstration) to strengthen applications.</t>
        </is>
      </c>
    </row>
    <row r="13">
      <c r="A13" s="2" t="inlineStr">
        <is>
          <t>Key risks</t>
        </is>
      </c>
      <c r="B13" s="2" t="inlineStr">
        <is>
          <t>1) NZ headquarters may disqualify Kelvara as lead applicant for EU programmes if the UK entity is not sufficiently established — verify UK entity status urgently. 2) IETF capital grants require significant co-funding (typically 30–50%) which may be challenging at seed stage. 3) EIC Accelerator has a ~5% acceptance rate and requires a compelling commercialisation narrative. 4) Hardware TRL 6 may be perceived as insufficiently de-risked for large capital grants without stronger pilot data.</t>
        </is>
      </c>
    </row>
    <row r="15">
      <c r="A15" s="6" t="inlineStr">
        <is>
          <t>Get help with these applications</t>
        </is>
      </c>
      <c r="B15" t="inlineStr"/>
    </row>
    <row r="16">
      <c r="A16" s="2" t="inlineStr">
        <is>
          <t>About this report</t>
        </is>
      </c>
      <c r="B16" s="2" t="inlineStr">
        <is>
          <t>Built by Thomas Murray, a consultant who helps climate and deeptech startups win grant funding. This shortlist is the same landscape scan I run at the start of a client engagement — if you want help turning any of these into a submitted application, get in touch.</t>
        </is>
      </c>
    </row>
    <row r="17">
      <c r="A17" t="inlineStr">
        <is>
          <t>Work with Thomas</t>
        </is>
      </c>
      <c r="B17" s="7" t="inlineStr">
        <is>
          <t>https://thomasmurray.earth/startup-journey.html</t>
        </is>
      </c>
    </row>
    <row r="18">
      <c r="A18" t="inlineStr">
        <is>
          <t>Contact</t>
        </is>
      </c>
      <c r="B18" s="7" t="inlineStr">
        <is>
          <t>thomasmurraynz@gmail.com</t>
        </is>
      </c>
    </row>
  </sheetData>
  <hyperlinks>
    <hyperlink xmlns:r="http://schemas.openxmlformats.org/officeDocument/2006/relationships" ref="B17" r:id="rId1"/>
    <hyperlink xmlns:r="http://schemas.openxmlformats.org/officeDocument/2006/relationships" ref="B18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4" customWidth="1" min="1" max="1"/>
    <col width="70.75" customWidth="1" min="2" max="2"/>
  </cols>
  <sheetData>
    <row r="1">
      <c r="A1" s="1" t="inlineStr">
        <is>
          <t>Acronym</t>
        </is>
      </c>
      <c r="B1" s="1" t="inlineStr">
        <is>
          <t>Definition</t>
        </is>
      </c>
    </row>
    <row r="2">
      <c r="A2" t="inlineStr">
        <is>
          <t>AI</t>
        </is>
      </c>
      <c r="B2" s="2" t="inlineStr">
        <is>
          <t>Artificial Intelligence — referenced in the context of digital and AI-based demand-side flexibility solutions targeted by the Innovate UK consumer flexibility programme</t>
        </is>
      </c>
    </row>
    <row r="3">
      <c r="A3" t="inlineStr">
        <is>
          <t>CID</t>
        </is>
      </c>
      <c r="B3" s="2" t="inlineStr">
        <is>
          <t>Clean Industrial Deal — the European Commission policy framework and associated Horizon Europe R&amp;I call targeting decarbonisation of energy-intensive industries</t>
        </is>
      </c>
    </row>
    <row r="4">
      <c r="A4" t="inlineStr">
        <is>
          <t>CINEA</t>
        </is>
      </c>
      <c r="B4" s="2" t="inlineStr">
        <is>
          <t>European Climate, Infrastructure and Environment Executive Agency — the EU body managing the Innovation Fund and other climate-related funding programmes</t>
        </is>
      </c>
    </row>
    <row r="5">
      <c r="A5" t="inlineStr">
        <is>
          <t>CL5</t>
        </is>
      </c>
      <c r="B5" s="2" t="inlineStr">
        <is>
          <t>Cluster 5 — the Horizon Europe thematic cluster covering Climate, Energy and Mobility under which industrial thermal storage projects have previously been funded</t>
        </is>
      </c>
    </row>
    <row r="6">
      <c r="A6" t="inlineStr">
        <is>
          <t>EIC</t>
        </is>
      </c>
      <c r="B6" s="2" t="inlineStr">
        <is>
          <t>European Innovation Council — the EU body that provides funding and support to high-potential deep-tech startups and SMEs through instruments such as the EIC Accelerator</t>
        </is>
      </c>
    </row>
    <row r="7">
      <c r="A7" t="inlineStr">
        <is>
          <t>EU</t>
        </is>
      </c>
      <c r="B7" s="2" t="inlineStr">
        <is>
          <t>European Union — the supranational political and economic union whose institutions manage the funding programmes described</t>
        </is>
      </c>
    </row>
    <row r="8">
      <c r="A8" t="inlineStr">
        <is>
          <t>HORIZON-CID-2026-01-01</t>
        </is>
      </c>
      <c r="B8" s="2" t="inlineStr">
        <is>
          <t>Horizon Europe Clean Industrial Deal call identifier for the 2026 first round of R&amp;I funding for industrial decarbonisation</t>
        </is>
      </c>
    </row>
    <row r="9">
      <c r="A9" t="inlineStr">
        <is>
          <t>IA</t>
        </is>
      </c>
      <c r="B9" s="2" t="inlineStr">
        <is>
          <t>Innovation Action — a Horizon Europe project type focused on closer-to-market activities such as demonstration and piloting, typically at higher TRL levels</t>
        </is>
      </c>
    </row>
    <row r="10">
      <c r="A10" t="inlineStr">
        <is>
          <t>IETF</t>
        </is>
      </c>
      <c r="B10" s="2" t="inlineStr">
        <is>
          <t>Industrial Energy Transformation Fund — a UK government grant programme supporting energy-intensive industries to reduce energy use and carbon emissions</t>
        </is>
      </c>
    </row>
    <row r="11">
      <c r="A11" t="inlineStr">
        <is>
          <t>IF25</t>
        </is>
      </c>
      <c r="B11" s="2" t="inlineStr">
        <is>
          <t>Innovation Fund 2025 — the European Commission's 2025 round of the Innovation Fund supporting low-carbon technology deployment</t>
        </is>
      </c>
    </row>
    <row r="12">
      <c r="A12" t="inlineStr">
        <is>
          <t>MWh</t>
        </is>
      </c>
      <c r="B12" s="2" t="inlineStr">
        <is>
          <t>Megawatt-hour — a unit of energy equal to one megawatt of power sustained for one hour, used here to describe the scale of a thermal storage pilot</t>
        </is>
      </c>
    </row>
    <row r="13">
      <c r="A13" t="inlineStr">
        <is>
          <t>PCM</t>
        </is>
      </c>
      <c r="B13" s="2" t="inlineStr">
        <is>
          <t>Phase Change Material — a substance that stores and releases thermal energy during the process of melting and solidifying, used here as Kelvara's heat-storage medium</t>
        </is>
      </c>
    </row>
    <row r="14">
      <c r="A14" t="inlineStr">
        <is>
          <t>R&amp;I</t>
        </is>
      </c>
      <c r="B14" s="2" t="inlineStr">
        <is>
          <t>Research and Innovation — the combined research and innovation activities targeted by Horizon Europe funding calls</t>
        </is>
      </c>
    </row>
    <row r="15">
      <c r="A15" t="inlineStr">
        <is>
          <t>RIA</t>
        </is>
      </c>
      <c r="B15" s="2" t="inlineStr">
        <is>
          <t>Research and Innovation Action — a Horizon Europe project type focused on generating new knowledge, typically at lower TRL levels</t>
        </is>
      </c>
    </row>
    <row r="16">
      <c r="A16" t="inlineStr">
        <is>
          <t>SME</t>
        </is>
      </c>
      <c r="B16" s="2" t="inlineStr">
        <is>
          <t>Small and Medium-sized Enterprise — a business classification used by EU and UK funders to determine eligibility, typically defined by employee count and turnover thresholds</t>
        </is>
      </c>
    </row>
    <row r="17">
      <c r="A17" t="inlineStr">
        <is>
          <t>TRL</t>
        </is>
      </c>
      <c r="B17" s="2" t="inlineStr">
        <is>
          <t>Technology Readiness Level — a scale from 1 to 9 measuring the maturity of a technology, used by funders to define eligibility thresholds</t>
        </is>
      </c>
    </row>
    <row r="18">
      <c r="A18" t="inlineStr">
        <is>
          <t>UK</t>
        </is>
      </c>
      <c r="B18" s="2" t="inlineStr">
        <is>
          <t>United Kingdom — the country whose organisations may participate in Horizon Europe as an associated country and which hosts Innovate UK funding programmes</t>
        </is>
      </c>
    </row>
    <row r="19">
      <c r="A19" t="inlineStr">
        <is>
          <t>UKRI</t>
        </is>
      </c>
      <c r="B19" s="2" t="inlineStr">
        <is>
          <t>UK Research and Innovation — the UK government body that oversees public funding for research and innovation, of which Innovate UK is a constituent council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2026-07-13T10:15:44Z</dcterms:created>
  <dcterms:modified xmlns:dcterms="http://purl.org/dc/terms/" xmlns:xsi="http://www.w3.org/2001/XMLSchema-instance" xsi:type="dcterms:W3CDTF">2026-07-13T10:15:44Z</dcterms:modified>
</cp:coreProperties>
</file>